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区域汇总" sheetId="3" state="visible" r:id="rId3"/>
    <sheet xmlns:r="http://schemas.openxmlformats.org/officeDocument/2006/relationships" name="季度仪表" sheetId="4" state="visible" r:id="rId4"/>
  </sheets>
  <definedNames>
    <definedName name="_xlnm._FilterDatabase" localSheetId="1" hidden="1">'销售明细'!$A$3:$K$33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Q&quot;0"/>
    <numFmt numFmtId="166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001E2761"/>
      <sz val="16"/>
    </font>
    <font>
      <name val="微软雅黑"/>
      <b val="1"/>
      <color rgb="00FFFFFF"/>
      <sz val="11"/>
    </font>
    <font>
      <name val="微软雅黑"/>
      <sz val="11"/>
    </font>
    <font>
      <name val="微软雅黑"/>
      <color rgb="00808080"/>
      <sz val="10"/>
    </font>
    <font>
      <name val="微软雅黑"/>
      <b val="1"/>
      <sz val="11"/>
    </font>
    <font>
      <name val="微软雅黑"/>
      <b val="1"/>
      <color rgb="001E2761"/>
      <sz val="12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2CC"/>
      </patternFill>
    </fill>
    <fill>
      <patternFill patternType="solid">
        <fgColor rgb="00EEF1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3" fillId="0" borderId="1" pivotButton="0" quotePrefix="0" xfId="0"/>
    <xf numFmtId="3" fontId="5" fillId="0" borderId="1" pivotButton="0" quotePrefix="0" xfId="0"/>
    <xf numFmtId="4" fontId="5" fillId="0" borderId="1" pivotButton="0" quotePrefix="0" xfId="0"/>
    <xf numFmtId="3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分季度销售额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'季度仪表'!B10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'季度仪表'!$A$11:$A$14</f>
            </numRef>
          </cat>
          <val>
            <numRef>
              <f>'季度仪表'!$B$11:$B$14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产品线构成</a:t>
            </a:r>
          </a:p>
        </rich>
      </tx>
    </title>
    <plotArea>
      <pieChart>
        <varyColors val="1"/>
        <ser>
          <idx val="0"/>
          <order val="0"/>
          <tx>
            <strRef>
              <f>'季度仪表'!B17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'季度仪表'!$A$18:$A$21</f>
            </numRef>
          </cat>
          <val>
            <numRef>
              <f>'季度仪表'!$B$18:$B$21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14" customWidth="1" min="4" max="4"/>
    <col width="16" customWidth="1" min="5" max="5"/>
  </cols>
  <sheetData>
    <row r="1" ht="30" customHeight="1">
      <c r="A1" s="1" t="inlineStr">
        <is>
          <t>2026 年度经营分析 · 参数表（黄色为可改区）</t>
        </is>
      </c>
    </row>
    <row r="2">
      <c r="A2" s="2" t="inlineStr">
        <is>
          <t>大区</t>
        </is>
      </c>
      <c r="B2" s="2" t="inlineStr">
        <is>
          <t>提成比例</t>
        </is>
      </c>
      <c r="D2" s="2" t="inlineStr">
        <is>
          <t>大区</t>
        </is>
      </c>
      <c r="E2" s="2" t="inlineStr">
        <is>
          <t>年度目标（元）</t>
        </is>
      </c>
    </row>
    <row r="3">
      <c r="A3" s="3" t="inlineStr">
        <is>
          <t>华东</t>
        </is>
      </c>
      <c r="B3" s="4" t="n">
        <v>0.08</v>
      </c>
      <c r="D3" s="3" t="inlineStr">
        <is>
          <t>华东</t>
        </is>
      </c>
      <c r="E3" s="5" t="n">
        <v>450000</v>
      </c>
    </row>
    <row r="4">
      <c r="A4" s="3" t="inlineStr">
        <is>
          <t>华南</t>
        </is>
      </c>
      <c r="B4" s="4" t="n">
        <v>0.1</v>
      </c>
      <c r="D4" s="3" t="inlineStr">
        <is>
          <t>华南</t>
        </is>
      </c>
      <c r="E4" s="5" t="n">
        <v>300000</v>
      </c>
    </row>
    <row r="5">
      <c r="A5" s="3" t="inlineStr">
        <is>
          <t>华北</t>
        </is>
      </c>
      <c r="B5" s="4" t="n">
        <v>0.12</v>
      </c>
      <c r="D5" s="3" t="inlineStr">
        <is>
          <t>华北</t>
        </is>
      </c>
      <c r="E5" s="5" t="n">
        <v>350000</v>
      </c>
    </row>
    <row r="6">
      <c r="A6" s="6" t="inlineStr">
        <is>
          <t>说明：提成比例与年度目标为手工填写区（黄色），改动后各表自动重算。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2761"/>
    <outlinePr summaryBelow="1" summaryRight="1"/>
    <pageSetUpPr fitToPage="1"/>
  </sheetPr>
  <dimension ref="A1:K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9" customWidth="1" min="4" max="4"/>
    <col width="11" customWidth="1" min="5" max="5"/>
    <col width="8" customWidth="1" min="6" max="6"/>
    <col width="12" customWidth="1" min="7" max="7"/>
    <col width="13" customWidth="1" min="8" max="8"/>
    <col width="10" customWidth="1" min="9" max="9"/>
    <col width="12" customWidth="1" min="10" max="10"/>
    <col width="8" customWidth="1" min="11" max="11"/>
  </cols>
  <sheetData>
    <row r="1" ht="30" customHeight="1">
      <c r="A1" s="1" t="inlineStr">
        <is>
          <t>2026 年销售明细（黄色为填写区，金额 / 提成 / 季度均为公式，请勿手工改动）</t>
        </is>
      </c>
    </row>
    <row r="3">
      <c r="A3" s="2" t="inlineStr">
        <is>
          <t>订单号</t>
        </is>
      </c>
      <c r="B3" s="2" t="inlineStr">
        <is>
          <t>日期</t>
        </is>
      </c>
      <c r="C3" s="2" t="inlineStr">
        <is>
          <t>大区</t>
        </is>
      </c>
      <c r="D3" s="2" t="inlineStr">
        <is>
          <t>销售员</t>
        </is>
      </c>
      <c r="E3" s="2" t="inlineStr">
        <is>
          <t>产品线</t>
        </is>
      </c>
      <c r="F3" s="2" t="inlineStr">
        <is>
          <t>数量</t>
        </is>
      </c>
      <c r="G3" s="2" t="inlineStr">
        <is>
          <t>单价（元）</t>
        </is>
      </c>
      <c r="H3" s="2" t="inlineStr">
        <is>
          <t>金额（元）</t>
        </is>
      </c>
      <c r="I3" s="2" t="inlineStr">
        <is>
          <t>提成比例</t>
        </is>
      </c>
      <c r="J3" s="2" t="inlineStr">
        <is>
          <t>提成（元）</t>
        </is>
      </c>
      <c r="K3" s="2" t="inlineStr">
        <is>
          <t>季度</t>
        </is>
      </c>
    </row>
    <row r="4">
      <c r="A4" s="7" t="inlineStr">
        <is>
          <t>DD2026-001</t>
        </is>
      </c>
      <c r="B4" s="8" t="n">
        <v>46026</v>
      </c>
      <c r="C4" s="7" t="inlineStr">
        <is>
          <t>华北</t>
        </is>
      </c>
      <c r="D4" s="7" t="inlineStr">
        <is>
          <t>郑十一</t>
        </is>
      </c>
      <c r="E4" s="7" t="inlineStr">
        <is>
          <t>标准版</t>
        </is>
      </c>
      <c r="F4" s="5" t="n">
        <v>6</v>
      </c>
      <c r="G4" s="9" t="n">
        <v>2980</v>
      </c>
      <c r="H4" s="10">
        <f>ROUND(F4*G4,2)</f>
        <v/>
      </c>
      <c r="I4" s="11">
        <f>VLOOKUP(C4,参数表!$A$3:$B$5,2,FALSE)</f>
        <v/>
      </c>
      <c r="J4" s="10">
        <f>ROUND(H4*I4,2)</f>
        <v/>
      </c>
      <c r="K4" s="12">
        <f>CHOOSE(MONTH(B4),1,1,1,2,2,2,3,3,3,4,4,4)</f>
        <v/>
      </c>
    </row>
    <row r="5">
      <c r="A5" s="3" t="inlineStr">
        <is>
          <t>DD2026-002</t>
        </is>
      </c>
      <c r="B5" s="13" t="n">
        <v>46031</v>
      </c>
      <c r="C5" s="3" t="inlineStr">
        <is>
          <t>华北</t>
        </is>
      </c>
      <c r="D5" s="3" t="inlineStr">
        <is>
          <t>孙八</t>
        </is>
      </c>
      <c r="E5" s="3" t="inlineStr">
        <is>
          <t>标准版</t>
        </is>
      </c>
      <c r="F5" s="5" t="n">
        <v>2</v>
      </c>
      <c r="G5" s="9" t="n">
        <v>2980</v>
      </c>
      <c r="H5" s="14">
        <f>ROUND(F5*G5,2)</f>
        <v/>
      </c>
      <c r="I5" s="15">
        <f>VLOOKUP(C5,参数表!$A$3:$B$5,2,FALSE)</f>
        <v/>
      </c>
      <c r="J5" s="14">
        <f>ROUND(H5*I5,2)</f>
        <v/>
      </c>
      <c r="K5" s="16">
        <f>CHOOSE(MONTH(B5),1,1,1,2,2,2,3,3,3,4,4,4)</f>
        <v/>
      </c>
    </row>
    <row r="6">
      <c r="A6" s="7" t="inlineStr">
        <is>
          <t>DD2026-003</t>
        </is>
      </c>
      <c r="B6" s="8" t="n">
        <v>46042</v>
      </c>
      <c r="C6" s="7" t="inlineStr">
        <is>
          <t>华南</t>
        </is>
      </c>
      <c r="D6" s="7" t="inlineStr">
        <is>
          <t>王五</t>
        </is>
      </c>
      <c r="E6" s="7" t="inlineStr">
        <is>
          <t>标准版</t>
        </is>
      </c>
      <c r="F6" s="5" t="n">
        <v>4</v>
      </c>
      <c r="G6" s="9" t="n">
        <v>2980</v>
      </c>
      <c r="H6" s="10">
        <f>ROUND(F6*G6,2)</f>
        <v/>
      </c>
      <c r="I6" s="11">
        <f>VLOOKUP(C6,参数表!$A$3:$B$5,2,FALSE)</f>
        <v/>
      </c>
      <c r="J6" s="10">
        <f>ROUND(H6*I6,2)</f>
        <v/>
      </c>
      <c r="K6" s="12">
        <f>CHOOSE(MONTH(B6),1,1,1,2,2,2,3,3,3,4,4,4)</f>
        <v/>
      </c>
    </row>
    <row r="7">
      <c r="A7" s="3" t="inlineStr">
        <is>
          <t>DD2026-004</t>
        </is>
      </c>
      <c r="B7" s="13" t="n">
        <v>46071</v>
      </c>
      <c r="C7" s="3" t="inlineStr">
        <is>
          <t>华东</t>
        </is>
      </c>
      <c r="D7" s="3" t="inlineStr">
        <is>
          <t>李四</t>
        </is>
      </c>
      <c r="E7" s="3" t="inlineStr">
        <is>
          <t>标准版</t>
        </is>
      </c>
      <c r="F7" s="5" t="n">
        <v>4</v>
      </c>
      <c r="G7" s="9" t="n">
        <v>2980</v>
      </c>
      <c r="H7" s="14">
        <f>ROUND(F7*G7,2)</f>
        <v/>
      </c>
      <c r="I7" s="15">
        <f>VLOOKUP(C7,参数表!$A$3:$B$5,2,FALSE)</f>
        <v/>
      </c>
      <c r="J7" s="14">
        <f>ROUND(H7*I7,2)</f>
        <v/>
      </c>
      <c r="K7" s="16">
        <f>CHOOSE(MONTH(B7),1,1,1,2,2,2,3,3,3,4,4,4)</f>
        <v/>
      </c>
    </row>
    <row r="8">
      <c r="A8" s="7" t="inlineStr">
        <is>
          <t>DD2026-005</t>
        </is>
      </c>
      <c r="B8" s="8" t="n">
        <v>46055</v>
      </c>
      <c r="C8" s="7" t="inlineStr">
        <is>
          <t>华东</t>
        </is>
      </c>
      <c r="D8" s="7" t="inlineStr">
        <is>
          <t>李四</t>
        </is>
      </c>
      <c r="E8" s="7" t="inlineStr">
        <is>
          <t>标准版</t>
        </is>
      </c>
      <c r="F8" s="5" t="n">
        <v>2</v>
      </c>
      <c r="G8" s="9" t="n">
        <v>2980</v>
      </c>
      <c r="H8" s="10">
        <f>ROUND(F8*G8,2)</f>
        <v/>
      </c>
      <c r="I8" s="11">
        <f>VLOOKUP(C8,参数表!$A$3:$B$5,2,FALSE)</f>
        <v/>
      </c>
      <c r="J8" s="10">
        <f>ROUND(H8*I8,2)</f>
        <v/>
      </c>
      <c r="K8" s="12">
        <f>CHOOSE(MONTH(B8),1,1,1,2,2,2,3,3,3,4,4,4)</f>
        <v/>
      </c>
    </row>
    <row r="9">
      <c r="A9" s="3" t="inlineStr">
        <is>
          <t>DD2026-006</t>
        </is>
      </c>
      <c r="B9" s="13" t="n">
        <v>46094</v>
      </c>
      <c r="C9" s="3" t="inlineStr">
        <is>
          <t>华东</t>
        </is>
      </c>
      <c r="D9" s="3" t="inlineStr">
        <is>
          <t>张三</t>
        </is>
      </c>
      <c r="E9" s="3" t="inlineStr">
        <is>
          <t>标准版</t>
        </is>
      </c>
      <c r="F9" s="5" t="n">
        <v>6</v>
      </c>
      <c r="G9" s="9" t="n">
        <v>2980</v>
      </c>
      <c r="H9" s="14">
        <f>ROUND(F9*G9,2)</f>
        <v/>
      </c>
      <c r="I9" s="15">
        <f>VLOOKUP(C9,参数表!$A$3:$B$5,2,FALSE)</f>
        <v/>
      </c>
      <c r="J9" s="14">
        <f>ROUND(H9*I9,2)</f>
        <v/>
      </c>
      <c r="K9" s="16">
        <f>CHOOSE(MONTH(B9),1,1,1,2,2,2,3,3,3,4,4,4)</f>
        <v/>
      </c>
    </row>
    <row r="10">
      <c r="A10" s="7" t="inlineStr">
        <is>
          <t>DD2026-007</t>
        </is>
      </c>
      <c r="B10" s="8" t="n">
        <v>46096</v>
      </c>
      <c r="C10" s="7" t="inlineStr">
        <is>
          <t>华北</t>
        </is>
      </c>
      <c r="D10" s="7" t="inlineStr">
        <is>
          <t>孙八</t>
        </is>
      </c>
      <c r="E10" s="7" t="inlineStr">
        <is>
          <t>标准版</t>
        </is>
      </c>
      <c r="F10" s="5" t="n">
        <v>6</v>
      </c>
      <c r="G10" s="9" t="n">
        <v>2980</v>
      </c>
      <c r="H10" s="10">
        <f>ROUND(F10*G10,2)</f>
        <v/>
      </c>
      <c r="I10" s="11">
        <f>VLOOKUP(C10,参数表!$A$3:$B$5,2,FALSE)</f>
        <v/>
      </c>
      <c r="J10" s="10">
        <f>ROUND(H10*I10,2)</f>
        <v/>
      </c>
      <c r="K10" s="12">
        <f>CHOOSE(MONTH(B10),1,1,1,2,2,2,3,3,3,4,4,4)</f>
        <v/>
      </c>
    </row>
    <row r="11">
      <c r="A11" s="3" t="inlineStr">
        <is>
          <t>DD2026-008</t>
        </is>
      </c>
      <c r="B11" s="13" t="n">
        <v>46094</v>
      </c>
      <c r="C11" s="3" t="inlineStr">
        <is>
          <t>华北</t>
        </is>
      </c>
      <c r="D11" s="3" t="inlineStr">
        <is>
          <t>孙八</t>
        </is>
      </c>
      <c r="E11" s="3" t="inlineStr">
        <is>
          <t>标准版</t>
        </is>
      </c>
      <c r="F11" s="5" t="n">
        <v>8</v>
      </c>
      <c r="G11" s="9" t="n">
        <v>2980</v>
      </c>
      <c r="H11" s="14">
        <f>ROUND(F11*G11,2)</f>
        <v/>
      </c>
      <c r="I11" s="15">
        <f>VLOOKUP(C11,参数表!$A$3:$B$5,2,FALSE)</f>
        <v/>
      </c>
      <c r="J11" s="14">
        <f>ROUND(H11*I11,2)</f>
        <v/>
      </c>
      <c r="K11" s="16">
        <f>CHOOSE(MONTH(B11),1,1,1,2,2,2,3,3,3,4,4,4)</f>
        <v/>
      </c>
    </row>
    <row r="12">
      <c r="A12" s="7" t="inlineStr">
        <is>
          <t>DD2026-009</t>
        </is>
      </c>
      <c r="B12" s="8" t="n">
        <v>46129</v>
      </c>
      <c r="C12" s="7" t="inlineStr">
        <is>
          <t>华南</t>
        </is>
      </c>
      <c r="D12" s="7" t="inlineStr">
        <is>
          <t>赵六</t>
        </is>
      </c>
      <c r="E12" s="7" t="inlineStr">
        <is>
          <t>标准版</t>
        </is>
      </c>
      <c r="F12" s="5" t="n">
        <v>4</v>
      </c>
      <c r="G12" s="9" t="n">
        <v>2980</v>
      </c>
      <c r="H12" s="10">
        <f>ROUND(F12*G12,2)</f>
        <v/>
      </c>
      <c r="I12" s="11">
        <f>VLOOKUP(C12,参数表!$A$3:$B$5,2,FALSE)</f>
        <v/>
      </c>
      <c r="J12" s="10">
        <f>ROUND(H12*I12,2)</f>
        <v/>
      </c>
      <c r="K12" s="12">
        <f>CHOOSE(MONTH(B12),1,1,1,2,2,2,3,3,3,4,4,4)</f>
        <v/>
      </c>
    </row>
    <row r="13">
      <c r="A13" s="3" t="inlineStr">
        <is>
          <t>DD2026-010</t>
        </is>
      </c>
      <c r="B13" s="13" t="n">
        <v>46125</v>
      </c>
      <c r="C13" s="3" t="inlineStr">
        <is>
          <t>华南</t>
        </is>
      </c>
      <c r="D13" s="3" t="inlineStr">
        <is>
          <t>赵六</t>
        </is>
      </c>
      <c r="E13" s="3" t="inlineStr">
        <is>
          <t>标准版</t>
        </is>
      </c>
      <c r="F13" s="5" t="n">
        <v>4</v>
      </c>
      <c r="G13" s="9" t="n">
        <v>2980</v>
      </c>
      <c r="H13" s="14">
        <f>ROUND(F13*G13,2)</f>
        <v/>
      </c>
      <c r="I13" s="15">
        <f>VLOOKUP(C13,参数表!$A$3:$B$5,2,FALSE)</f>
        <v/>
      </c>
      <c r="J13" s="14">
        <f>ROUND(H13*I13,2)</f>
        <v/>
      </c>
      <c r="K13" s="16">
        <f>CHOOSE(MONTH(B13),1,1,1,2,2,2,3,3,3,4,4,4)</f>
        <v/>
      </c>
    </row>
    <row r="14">
      <c r="A14" s="7" t="inlineStr">
        <is>
          <t>DD2026-011</t>
        </is>
      </c>
      <c r="B14" s="8" t="n">
        <v>46159</v>
      </c>
      <c r="C14" s="7" t="inlineStr">
        <is>
          <t>华东</t>
        </is>
      </c>
      <c r="D14" s="7" t="inlineStr">
        <is>
          <t>周九</t>
        </is>
      </c>
      <c r="E14" s="7" t="inlineStr">
        <is>
          <t>标准版</t>
        </is>
      </c>
      <c r="F14" s="5" t="n">
        <v>10</v>
      </c>
      <c r="G14" s="9" t="n">
        <v>2980</v>
      </c>
      <c r="H14" s="10">
        <f>ROUND(F14*G14,2)</f>
        <v/>
      </c>
      <c r="I14" s="11">
        <f>VLOOKUP(C14,参数表!$A$3:$B$5,2,FALSE)</f>
        <v/>
      </c>
      <c r="J14" s="10">
        <f>ROUND(H14*I14,2)</f>
        <v/>
      </c>
      <c r="K14" s="12">
        <f>CHOOSE(MONTH(B14),1,1,1,2,2,2,3,3,3,4,4,4)</f>
        <v/>
      </c>
    </row>
    <row r="15">
      <c r="A15" s="3" t="inlineStr">
        <is>
          <t>DD2026-012</t>
        </is>
      </c>
      <c r="B15" s="13" t="n">
        <v>46157</v>
      </c>
      <c r="C15" s="3" t="inlineStr">
        <is>
          <t>华北</t>
        </is>
      </c>
      <c r="D15" s="3" t="inlineStr">
        <is>
          <t>钱七</t>
        </is>
      </c>
      <c r="E15" s="3" t="inlineStr">
        <is>
          <t>标准版</t>
        </is>
      </c>
      <c r="F15" s="5" t="n">
        <v>4</v>
      </c>
      <c r="G15" s="9" t="n">
        <v>2980</v>
      </c>
      <c r="H15" s="14">
        <f>ROUND(F15*G15,2)</f>
        <v/>
      </c>
      <c r="I15" s="15">
        <f>VLOOKUP(C15,参数表!$A$3:$B$5,2,FALSE)</f>
        <v/>
      </c>
      <c r="J15" s="14">
        <f>ROUND(H15*I15,2)</f>
        <v/>
      </c>
      <c r="K15" s="16">
        <f>CHOOSE(MONTH(B15),1,1,1,2,2,2,3,3,3,4,4,4)</f>
        <v/>
      </c>
    </row>
    <row r="16">
      <c r="A16" s="7" t="inlineStr">
        <is>
          <t>DD2026-013</t>
        </is>
      </c>
      <c r="B16" s="8" t="n">
        <v>46143</v>
      </c>
      <c r="C16" s="7" t="inlineStr">
        <is>
          <t>华东</t>
        </is>
      </c>
      <c r="D16" s="7" t="inlineStr">
        <is>
          <t>周九</t>
        </is>
      </c>
      <c r="E16" s="7" t="inlineStr">
        <is>
          <t>标准版</t>
        </is>
      </c>
      <c r="F16" s="5" t="n">
        <v>10</v>
      </c>
      <c r="G16" s="9" t="n">
        <v>2980</v>
      </c>
      <c r="H16" s="10">
        <f>ROUND(F16*G16,2)</f>
        <v/>
      </c>
      <c r="I16" s="11">
        <f>VLOOKUP(C16,参数表!$A$3:$B$5,2,FALSE)</f>
        <v/>
      </c>
      <c r="J16" s="10">
        <f>ROUND(H16*I16,2)</f>
        <v/>
      </c>
      <c r="K16" s="12">
        <f>CHOOSE(MONTH(B16),1,1,1,2,2,2,3,3,3,4,4,4)</f>
        <v/>
      </c>
    </row>
    <row r="17">
      <c r="A17" s="3" t="inlineStr">
        <is>
          <t>DD2026-014</t>
        </is>
      </c>
      <c r="B17" s="13" t="n">
        <v>46180</v>
      </c>
      <c r="C17" s="3" t="inlineStr">
        <is>
          <t>华东</t>
        </is>
      </c>
      <c r="D17" s="3" t="inlineStr">
        <is>
          <t>李四</t>
        </is>
      </c>
      <c r="E17" s="3" t="inlineStr">
        <is>
          <t>标准版</t>
        </is>
      </c>
      <c r="F17" s="5" t="n">
        <v>10</v>
      </c>
      <c r="G17" s="9" t="n">
        <v>2980</v>
      </c>
      <c r="H17" s="14">
        <f>ROUND(F17*G17,2)</f>
        <v/>
      </c>
      <c r="I17" s="15">
        <f>VLOOKUP(C17,参数表!$A$3:$B$5,2,FALSE)</f>
        <v/>
      </c>
      <c r="J17" s="14">
        <f>ROUND(H17*I17,2)</f>
        <v/>
      </c>
      <c r="K17" s="16">
        <f>CHOOSE(MONTH(B17),1,1,1,2,2,2,3,3,3,4,4,4)</f>
        <v/>
      </c>
    </row>
    <row r="18">
      <c r="A18" s="7" t="inlineStr">
        <is>
          <t>DD2026-015</t>
        </is>
      </c>
      <c r="B18" s="8" t="n">
        <v>46175</v>
      </c>
      <c r="C18" s="7" t="inlineStr">
        <is>
          <t>华东</t>
        </is>
      </c>
      <c r="D18" s="7" t="inlineStr">
        <is>
          <t>李四</t>
        </is>
      </c>
      <c r="E18" s="7" t="inlineStr">
        <is>
          <t>标准版</t>
        </is>
      </c>
      <c r="F18" s="5" t="n">
        <v>6</v>
      </c>
      <c r="G18" s="9" t="n">
        <v>2980</v>
      </c>
      <c r="H18" s="10">
        <f>ROUND(F18*G18,2)</f>
        <v/>
      </c>
      <c r="I18" s="11">
        <f>VLOOKUP(C18,参数表!$A$3:$B$5,2,FALSE)</f>
        <v/>
      </c>
      <c r="J18" s="10">
        <f>ROUND(H18*I18,2)</f>
        <v/>
      </c>
      <c r="K18" s="12">
        <f>CHOOSE(MONTH(B18),1,1,1,2,2,2,3,3,3,4,4,4)</f>
        <v/>
      </c>
    </row>
    <row r="19">
      <c r="A19" s="3" t="inlineStr">
        <is>
          <t>DD2026-016</t>
        </is>
      </c>
      <c r="B19" s="13" t="n">
        <v>46218</v>
      </c>
      <c r="C19" s="3" t="inlineStr">
        <is>
          <t>华北</t>
        </is>
      </c>
      <c r="D19" s="3" t="inlineStr">
        <is>
          <t>钱七</t>
        </is>
      </c>
      <c r="E19" s="3" t="inlineStr">
        <is>
          <t>标准版</t>
        </is>
      </c>
      <c r="F19" s="5" t="n">
        <v>8</v>
      </c>
      <c r="G19" s="9" t="n">
        <v>2980</v>
      </c>
      <c r="H19" s="14">
        <f>ROUND(F19*G19,2)</f>
        <v/>
      </c>
      <c r="I19" s="15">
        <f>VLOOKUP(C19,参数表!$A$3:$B$5,2,FALSE)</f>
        <v/>
      </c>
      <c r="J19" s="14">
        <f>ROUND(H19*I19,2)</f>
        <v/>
      </c>
      <c r="K19" s="16">
        <f>CHOOSE(MONTH(B19),1,1,1,2,2,2,3,3,3,4,4,4)</f>
        <v/>
      </c>
    </row>
    <row r="20">
      <c r="A20" s="7" t="inlineStr">
        <is>
          <t>DD2026-017</t>
        </is>
      </c>
      <c r="B20" s="8" t="n">
        <v>46218</v>
      </c>
      <c r="C20" s="7" t="inlineStr">
        <is>
          <t>华南</t>
        </is>
      </c>
      <c r="D20" s="7" t="inlineStr">
        <is>
          <t>王五</t>
        </is>
      </c>
      <c r="E20" s="7" t="inlineStr">
        <is>
          <t>标准版</t>
        </is>
      </c>
      <c r="F20" s="5" t="n">
        <v>8</v>
      </c>
      <c r="G20" s="9" t="n">
        <v>2980</v>
      </c>
      <c r="H20" s="10">
        <f>ROUND(F20*G20,2)</f>
        <v/>
      </c>
      <c r="I20" s="11">
        <f>VLOOKUP(C20,参数表!$A$3:$B$5,2,FALSE)</f>
        <v/>
      </c>
      <c r="J20" s="10">
        <f>ROUND(H20*I20,2)</f>
        <v/>
      </c>
      <c r="K20" s="12">
        <f>CHOOSE(MONTH(B20),1,1,1,2,2,2,3,3,3,4,4,4)</f>
        <v/>
      </c>
    </row>
    <row r="21">
      <c r="A21" s="3" t="inlineStr">
        <is>
          <t>DD2026-018</t>
        </is>
      </c>
      <c r="B21" s="13" t="n">
        <v>46208</v>
      </c>
      <c r="C21" s="3" t="inlineStr">
        <is>
          <t>华北</t>
        </is>
      </c>
      <c r="D21" s="3" t="inlineStr">
        <is>
          <t>钱七</t>
        </is>
      </c>
      <c r="E21" s="3" t="inlineStr">
        <is>
          <t>标准版</t>
        </is>
      </c>
      <c r="F21" s="5" t="n">
        <v>2</v>
      </c>
      <c r="G21" s="9" t="n">
        <v>2980</v>
      </c>
      <c r="H21" s="14">
        <f>ROUND(F21*G21,2)</f>
        <v/>
      </c>
      <c r="I21" s="15">
        <f>VLOOKUP(C21,参数表!$A$3:$B$5,2,FALSE)</f>
        <v/>
      </c>
      <c r="J21" s="14">
        <f>ROUND(H21*I21,2)</f>
        <v/>
      </c>
      <c r="K21" s="16">
        <f>CHOOSE(MONTH(B21),1,1,1,2,2,2,3,3,3,4,4,4)</f>
        <v/>
      </c>
    </row>
    <row r="22">
      <c r="A22" s="7" t="inlineStr">
        <is>
          <t>DD2026-019</t>
        </is>
      </c>
      <c r="B22" s="8" t="n">
        <v>46250</v>
      </c>
      <c r="C22" s="7" t="inlineStr">
        <is>
          <t>华南</t>
        </is>
      </c>
      <c r="D22" s="7" t="inlineStr">
        <is>
          <t>赵六</t>
        </is>
      </c>
      <c r="E22" s="7" t="inlineStr">
        <is>
          <t>标准版</t>
        </is>
      </c>
      <c r="F22" s="5" t="n">
        <v>6</v>
      </c>
      <c r="G22" s="9" t="n">
        <v>2980</v>
      </c>
      <c r="H22" s="10">
        <f>ROUND(F22*G22,2)</f>
        <v/>
      </c>
      <c r="I22" s="11">
        <f>VLOOKUP(C22,参数表!$A$3:$B$5,2,FALSE)</f>
        <v/>
      </c>
      <c r="J22" s="10">
        <f>ROUND(H22*I22,2)</f>
        <v/>
      </c>
      <c r="K22" s="12">
        <f>CHOOSE(MONTH(B22),1,1,1,2,2,2,3,3,3,4,4,4)</f>
        <v/>
      </c>
    </row>
    <row r="23">
      <c r="A23" s="3" t="inlineStr">
        <is>
          <t>DD2026-020</t>
        </is>
      </c>
      <c r="B23" s="13" t="n">
        <v>46238</v>
      </c>
      <c r="C23" s="3" t="inlineStr">
        <is>
          <t>华北</t>
        </is>
      </c>
      <c r="D23" s="3" t="inlineStr">
        <is>
          <t>郑十一</t>
        </is>
      </c>
      <c r="E23" s="3" t="inlineStr">
        <is>
          <t>标准版</t>
        </is>
      </c>
      <c r="F23" s="5" t="n">
        <v>2</v>
      </c>
      <c r="G23" s="9" t="n">
        <v>2980</v>
      </c>
      <c r="H23" s="14">
        <f>ROUND(F23*G23,2)</f>
        <v/>
      </c>
      <c r="I23" s="15">
        <f>VLOOKUP(C23,参数表!$A$3:$B$5,2,FALSE)</f>
        <v/>
      </c>
      <c r="J23" s="14">
        <f>ROUND(H23*I23,2)</f>
        <v/>
      </c>
      <c r="K23" s="16">
        <f>CHOOSE(MONTH(B23),1,1,1,2,2,2,3,3,3,4,4,4)</f>
        <v/>
      </c>
    </row>
    <row r="24">
      <c r="A24" s="7" t="inlineStr">
        <is>
          <t>DD2026-021</t>
        </is>
      </c>
      <c r="B24" s="8" t="n">
        <v>46270</v>
      </c>
      <c r="C24" s="7" t="inlineStr">
        <is>
          <t>华东</t>
        </is>
      </c>
      <c r="D24" s="7" t="inlineStr">
        <is>
          <t>周九</t>
        </is>
      </c>
      <c r="E24" s="7" t="inlineStr">
        <is>
          <t>标准版</t>
        </is>
      </c>
      <c r="F24" s="5" t="n">
        <v>2</v>
      </c>
      <c r="G24" s="9" t="n">
        <v>2980</v>
      </c>
      <c r="H24" s="10">
        <f>ROUND(F24*G24,2)</f>
        <v/>
      </c>
      <c r="I24" s="11">
        <f>VLOOKUP(C24,参数表!$A$3:$B$5,2,FALSE)</f>
        <v/>
      </c>
      <c r="J24" s="10">
        <f>ROUND(H24*I24,2)</f>
        <v/>
      </c>
      <c r="K24" s="12">
        <f>CHOOSE(MONTH(B24),1,1,1,2,2,2,3,3,3,4,4,4)</f>
        <v/>
      </c>
    </row>
    <row r="25">
      <c r="A25" s="3" t="inlineStr">
        <is>
          <t>DD2026-022</t>
        </is>
      </c>
      <c r="B25" s="13" t="n">
        <v>46281</v>
      </c>
      <c r="C25" s="3" t="inlineStr">
        <is>
          <t>华南</t>
        </is>
      </c>
      <c r="D25" s="3" t="inlineStr">
        <is>
          <t>赵六</t>
        </is>
      </c>
      <c r="E25" s="3" t="inlineStr">
        <is>
          <t>标准版</t>
        </is>
      </c>
      <c r="F25" s="5" t="n">
        <v>4</v>
      </c>
      <c r="G25" s="9" t="n">
        <v>2980</v>
      </c>
      <c r="H25" s="14">
        <f>ROUND(F25*G25,2)</f>
        <v/>
      </c>
      <c r="I25" s="15">
        <f>VLOOKUP(C25,参数表!$A$3:$B$5,2,FALSE)</f>
        <v/>
      </c>
      <c r="J25" s="14">
        <f>ROUND(H25*I25,2)</f>
        <v/>
      </c>
      <c r="K25" s="16">
        <f>CHOOSE(MONTH(B25),1,1,1,2,2,2,3,3,3,4,4,4)</f>
        <v/>
      </c>
    </row>
    <row r="26">
      <c r="A26" s="7" t="inlineStr">
        <is>
          <t>DD2026-023</t>
        </is>
      </c>
      <c r="B26" s="8" t="n">
        <v>46279</v>
      </c>
      <c r="C26" s="7" t="inlineStr">
        <is>
          <t>华北</t>
        </is>
      </c>
      <c r="D26" s="7" t="inlineStr">
        <is>
          <t>钱七</t>
        </is>
      </c>
      <c r="E26" s="7" t="inlineStr">
        <is>
          <t>标准版</t>
        </is>
      </c>
      <c r="F26" s="5" t="n">
        <v>8</v>
      </c>
      <c r="G26" s="9" t="n">
        <v>2980</v>
      </c>
      <c r="H26" s="10">
        <f>ROUND(F26*G26,2)</f>
        <v/>
      </c>
      <c r="I26" s="11">
        <f>VLOOKUP(C26,参数表!$A$3:$B$5,2,FALSE)</f>
        <v/>
      </c>
      <c r="J26" s="10">
        <f>ROUND(H26*I26,2)</f>
        <v/>
      </c>
      <c r="K26" s="12">
        <f>CHOOSE(MONTH(B26),1,1,1,2,2,2,3,3,3,4,4,4)</f>
        <v/>
      </c>
    </row>
    <row r="27">
      <c r="A27" s="3" t="inlineStr">
        <is>
          <t>DD2026-024</t>
        </is>
      </c>
      <c r="B27" s="13" t="n">
        <v>46297</v>
      </c>
      <c r="C27" s="3" t="inlineStr">
        <is>
          <t>华北</t>
        </is>
      </c>
      <c r="D27" s="3" t="inlineStr">
        <is>
          <t>孙八</t>
        </is>
      </c>
      <c r="E27" s="3" t="inlineStr">
        <is>
          <t>标准版</t>
        </is>
      </c>
      <c r="F27" s="5" t="n">
        <v>8</v>
      </c>
      <c r="G27" s="9" t="n">
        <v>2980</v>
      </c>
      <c r="H27" s="14">
        <f>ROUND(F27*G27,2)</f>
        <v/>
      </c>
      <c r="I27" s="15">
        <f>VLOOKUP(C27,参数表!$A$3:$B$5,2,FALSE)</f>
        <v/>
      </c>
      <c r="J27" s="14">
        <f>ROUND(H27*I27,2)</f>
        <v/>
      </c>
      <c r="K27" s="16">
        <f>CHOOSE(MONTH(B27),1,1,1,2,2,2,3,3,3,4,4,4)</f>
        <v/>
      </c>
    </row>
    <row r="28">
      <c r="A28" s="7" t="inlineStr">
        <is>
          <t>DD2026-025</t>
        </is>
      </c>
      <c r="B28" s="8" t="n">
        <v>46319</v>
      </c>
      <c r="C28" s="7" t="inlineStr">
        <is>
          <t>华北</t>
        </is>
      </c>
      <c r="D28" s="7" t="inlineStr">
        <is>
          <t>郑十一</t>
        </is>
      </c>
      <c r="E28" s="7" t="inlineStr">
        <is>
          <t>标准版</t>
        </is>
      </c>
      <c r="F28" s="5" t="n">
        <v>10</v>
      </c>
      <c r="G28" s="9" t="n">
        <v>2980</v>
      </c>
      <c r="H28" s="10">
        <f>ROUND(F28*G28,2)</f>
        <v/>
      </c>
      <c r="I28" s="11">
        <f>VLOOKUP(C28,参数表!$A$3:$B$5,2,FALSE)</f>
        <v/>
      </c>
      <c r="J28" s="10">
        <f>ROUND(H28*I28,2)</f>
        <v/>
      </c>
      <c r="K28" s="12">
        <f>CHOOSE(MONTH(B28),1,1,1,2,2,2,3,3,3,4,4,4)</f>
        <v/>
      </c>
    </row>
    <row r="29">
      <c r="A29" s="3" t="inlineStr">
        <is>
          <t>DD2026-026</t>
        </is>
      </c>
      <c r="B29" s="13" t="n">
        <v>46337</v>
      </c>
      <c r="C29" s="3" t="inlineStr">
        <is>
          <t>华南</t>
        </is>
      </c>
      <c r="D29" s="3" t="inlineStr">
        <is>
          <t>王五</t>
        </is>
      </c>
      <c r="E29" s="3" t="inlineStr">
        <is>
          <t>标准版</t>
        </is>
      </c>
      <c r="F29" s="5" t="n">
        <v>2</v>
      </c>
      <c r="G29" s="9" t="n">
        <v>2980</v>
      </c>
      <c r="H29" s="14">
        <f>ROUND(F29*G29,2)</f>
        <v/>
      </c>
      <c r="I29" s="15">
        <f>VLOOKUP(C29,参数表!$A$3:$B$5,2,FALSE)</f>
        <v/>
      </c>
      <c r="J29" s="14">
        <f>ROUND(H29*I29,2)</f>
        <v/>
      </c>
      <c r="K29" s="16">
        <f>CHOOSE(MONTH(B29),1,1,1,2,2,2,3,3,3,4,4,4)</f>
        <v/>
      </c>
    </row>
    <row r="30">
      <c r="A30" s="7" t="inlineStr">
        <is>
          <t>DD2026-027</t>
        </is>
      </c>
      <c r="B30" s="8" t="n">
        <v>46346</v>
      </c>
      <c r="C30" s="7" t="inlineStr">
        <is>
          <t>华北</t>
        </is>
      </c>
      <c r="D30" s="7" t="inlineStr">
        <is>
          <t>孙八</t>
        </is>
      </c>
      <c r="E30" s="7" t="inlineStr">
        <is>
          <t>标准版</t>
        </is>
      </c>
      <c r="F30" s="5" t="n">
        <v>6</v>
      </c>
      <c r="G30" s="9" t="n">
        <v>2980</v>
      </c>
      <c r="H30" s="10">
        <f>ROUND(F30*G30,2)</f>
        <v/>
      </c>
      <c r="I30" s="11">
        <f>VLOOKUP(C30,参数表!$A$3:$B$5,2,FALSE)</f>
        <v/>
      </c>
      <c r="J30" s="10">
        <f>ROUND(H30*I30,2)</f>
        <v/>
      </c>
      <c r="K30" s="12">
        <f>CHOOSE(MONTH(B30),1,1,1,2,2,2,3,3,3,4,4,4)</f>
        <v/>
      </c>
    </row>
    <row r="31">
      <c r="A31" s="3" t="inlineStr">
        <is>
          <t>DD2026-028</t>
        </is>
      </c>
      <c r="B31" s="13" t="n">
        <v>46327</v>
      </c>
      <c r="C31" s="3" t="inlineStr">
        <is>
          <t>华北</t>
        </is>
      </c>
      <c r="D31" s="3" t="inlineStr">
        <is>
          <t>孙八</t>
        </is>
      </c>
      <c r="E31" s="3" t="inlineStr">
        <is>
          <t>标准版</t>
        </is>
      </c>
      <c r="F31" s="5" t="n">
        <v>8</v>
      </c>
      <c r="G31" s="9" t="n">
        <v>2980</v>
      </c>
      <c r="H31" s="14">
        <f>ROUND(F31*G31,2)</f>
        <v/>
      </c>
      <c r="I31" s="15">
        <f>VLOOKUP(C31,参数表!$A$3:$B$5,2,FALSE)</f>
        <v/>
      </c>
      <c r="J31" s="14">
        <f>ROUND(H31*I31,2)</f>
        <v/>
      </c>
      <c r="K31" s="16">
        <f>CHOOSE(MONTH(B31),1,1,1,2,2,2,3,3,3,4,4,4)</f>
        <v/>
      </c>
    </row>
    <row r="32">
      <c r="A32" s="7" t="inlineStr">
        <is>
          <t>DD2026-029</t>
        </is>
      </c>
      <c r="B32" s="8" t="n">
        <v>46365</v>
      </c>
      <c r="C32" s="7" t="inlineStr">
        <is>
          <t>华南</t>
        </is>
      </c>
      <c r="D32" s="7" t="inlineStr">
        <is>
          <t>吴十</t>
        </is>
      </c>
      <c r="E32" s="7" t="inlineStr">
        <is>
          <t>标准版</t>
        </is>
      </c>
      <c r="F32" s="5" t="n">
        <v>10</v>
      </c>
      <c r="G32" s="9" t="n">
        <v>2980</v>
      </c>
      <c r="H32" s="10">
        <f>ROUND(F32*G32,2)</f>
        <v/>
      </c>
      <c r="I32" s="11">
        <f>VLOOKUP(C32,参数表!$A$3:$B$5,2,FALSE)</f>
        <v/>
      </c>
      <c r="J32" s="10">
        <f>ROUND(H32*I32,2)</f>
        <v/>
      </c>
      <c r="K32" s="12">
        <f>CHOOSE(MONTH(B32),1,1,1,2,2,2,3,3,3,4,4,4)</f>
        <v/>
      </c>
    </row>
    <row r="33">
      <c r="A33" s="3" t="inlineStr">
        <is>
          <t>DD2026-030</t>
        </is>
      </c>
      <c r="B33" s="13" t="n">
        <v>46374</v>
      </c>
      <c r="C33" s="3" t="inlineStr">
        <is>
          <t>华北</t>
        </is>
      </c>
      <c r="D33" s="3" t="inlineStr">
        <is>
          <t>郑十一</t>
        </is>
      </c>
      <c r="E33" s="3" t="inlineStr">
        <is>
          <t>标准版</t>
        </is>
      </c>
      <c r="F33" s="5" t="n">
        <v>6</v>
      </c>
      <c r="G33" s="9" t="n">
        <v>2980</v>
      </c>
      <c r="H33" s="14">
        <f>ROUND(F33*G33,2)</f>
        <v/>
      </c>
      <c r="I33" s="15">
        <f>VLOOKUP(C33,参数表!$A$3:$B$5,2,FALSE)</f>
        <v/>
      </c>
      <c r="J33" s="14">
        <f>ROUND(H33*I33,2)</f>
        <v/>
      </c>
      <c r="K33" s="16">
        <f>CHOOSE(MONTH(B33),1,1,1,2,2,2,3,3,3,4,4,4)</f>
        <v/>
      </c>
    </row>
    <row r="34">
      <c r="A34" s="17" t="inlineStr">
        <is>
          <t>合计</t>
        </is>
      </c>
      <c r="B34" s="18" t="n"/>
      <c r="C34" s="18" t="n"/>
      <c r="D34" s="18" t="n"/>
      <c r="E34" s="18" t="n"/>
      <c r="F34" s="19">
        <f>SUM(F4:F33)</f>
        <v/>
      </c>
      <c r="G34" s="18" t="n"/>
      <c r="H34" s="20">
        <f>SUM(H4:H33)</f>
        <v/>
      </c>
      <c r="I34" s="18" t="n"/>
      <c r="J34" s="20">
        <f>SUM(J4:J33)</f>
        <v/>
      </c>
      <c r="K34" s="18" t="n"/>
    </row>
  </sheetData>
  <autoFilter ref="A3:K33"/>
  <mergeCells count="1">
    <mergeCell ref="A1:K1"/>
  </mergeCells>
  <conditionalFormatting sqref="H4:H33">
    <cfRule type="dataBar" priority="1">
      <dataBar>
        <cfvo type="num" val="0"/>
        <cfvo type="num" val="200000"/>
        <color rgb="001E2761"/>
      </dataBar>
    </cfRule>
  </conditionalFormatting>
  <dataValidations count="1">
    <dataValidation sqref="C4:C33" showDropDown="0" showInputMessage="0" showErrorMessage="0" allowBlank="0" error="请从下拉选择大区" type="list">
      <formula1>"华东,华南,华北"</formula1>
    </dataValidation>
  </dataValidations>
  <pageMargins left="0.75" right="0.75" top="1" bottom="1" header="0.5" footer="0.5"/>
  <pageSetup orientation="landscape" fitToHeight="0" fitToWidth="1"/>
  <headerFooter>
    <oddHeader>&amp;C2026 年销售明细（内部资料）</oddHeader>
    <oddFooter>&amp;C第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4" customWidth="1" min="4" max="4"/>
    <col width="15" customWidth="1" min="5" max="5"/>
    <col width="11" customWidth="1" min="6" max="6"/>
    <col width="14" customWidth="1" min="7" max="7"/>
  </cols>
  <sheetData>
    <row r="1" ht="30" customHeight="1">
      <c r="A1" s="1" t="inlineStr">
        <is>
          <t>2026 年大区汇总（全部为公式，自动随明细与参数变化）</t>
        </is>
      </c>
    </row>
    <row r="3">
      <c r="A3" s="2" t="inlineStr">
        <is>
          <t>大区</t>
        </is>
      </c>
      <c r="B3" s="2" t="inlineStr">
        <is>
          <t>订单数</t>
        </is>
      </c>
      <c r="C3" s="2" t="inlineStr">
        <is>
          <t>销售额（元）</t>
        </is>
      </c>
      <c r="D3" s="2" t="inlineStr">
        <is>
          <t>提成（元）</t>
        </is>
      </c>
      <c r="E3" s="2" t="inlineStr">
        <is>
          <t>年度目标（元）</t>
        </is>
      </c>
      <c r="F3" s="2" t="inlineStr">
        <is>
          <t>达成率</t>
        </is>
      </c>
      <c r="G3" s="2" t="inlineStr">
        <is>
          <t>平均单（元）</t>
        </is>
      </c>
    </row>
    <row r="4">
      <c r="A4" s="7" t="inlineStr">
        <is>
          <t>华东</t>
        </is>
      </c>
      <c r="B4" s="21">
        <f>COUNTIFS(销售明细!$C$4:$C$33,A4)</f>
        <v/>
      </c>
      <c r="C4" s="10">
        <f>SUMIFS(销售明细!$H$4:$H$33,销售明细!$C$4:$C$33,A4)</f>
        <v/>
      </c>
      <c r="D4" s="10">
        <f>SUMIFS(销售明细!$J$4:$J$33,销售明细!$C$4:$C$33,A4)</f>
        <v/>
      </c>
      <c r="E4" s="21">
        <f>VLOOKUP(A4,参数表!$D$3:$E$5,2,FALSE)</f>
        <v/>
      </c>
      <c r="F4" s="22">
        <f>IFERROR(C4/E4,0)</f>
        <v/>
      </c>
      <c r="G4" s="10">
        <f>IFERROR(C4/B4,0)</f>
        <v/>
      </c>
    </row>
    <row r="5">
      <c r="A5" s="3" t="inlineStr">
        <is>
          <t>华南</t>
        </is>
      </c>
      <c r="B5" s="23">
        <f>COUNTIFS(销售明细!$C$4:$C$33,A5)</f>
        <v/>
      </c>
      <c r="C5" s="14">
        <f>SUMIFS(销售明细!$H$4:$H$33,销售明细!$C$4:$C$33,A5)</f>
        <v/>
      </c>
      <c r="D5" s="14">
        <f>SUMIFS(销售明细!$J$4:$J$33,销售明细!$C$4:$C$33,A5)</f>
        <v/>
      </c>
      <c r="E5" s="23">
        <f>VLOOKUP(A5,参数表!$D$3:$E$5,2,FALSE)</f>
        <v/>
      </c>
      <c r="F5" s="24">
        <f>IFERROR(C5/E5,0)</f>
        <v/>
      </c>
      <c r="G5" s="14">
        <f>IFERROR(C5/B5,0)</f>
        <v/>
      </c>
    </row>
    <row r="6">
      <c r="A6" s="7" t="inlineStr">
        <is>
          <t>华北</t>
        </is>
      </c>
      <c r="B6" s="21">
        <f>COUNTIFS(销售明细!$C$4:$C$33,A6)</f>
        <v/>
      </c>
      <c r="C6" s="10">
        <f>SUMIFS(销售明细!$H$4:$H$33,销售明细!$C$4:$C$33,A6)</f>
        <v/>
      </c>
      <c r="D6" s="10">
        <f>SUMIFS(销售明细!$J$4:$J$33,销售明细!$C$4:$C$33,A6)</f>
        <v/>
      </c>
      <c r="E6" s="21">
        <f>VLOOKUP(A6,参数表!$D$3:$E$5,2,FALSE)</f>
        <v/>
      </c>
      <c r="F6" s="22">
        <f>IFERROR(C6/E6,0)</f>
        <v/>
      </c>
      <c r="G6" s="10">
        <f>IFERROR(C6/B6,0)</f>
        <v/>
      </c>
    </row>
    <row r="7">
      <c r="A7" s="25" t="inlineStr">
        <is>
          <t>合计</t>
        </is>
      </c>
      <c r="B7" s="26">
        <f>SUM(B4:B6)</f>
        <v/>
      </c>
      <c r="C7" s="27">
        <f>SUM(C4:C6)</f>
        <v/>
      </c>
      <c r="D7" s="27">
        <f>SUM(D4:D6)</f>
        <v/>
      </c>
      <c r="E7" s="26">
        <f>SUM(E4:E6)</f>
        <v/>
      </c>
      <c r="F7" s="28">
        <f>IFERROR(C7/E7,0)</f>
        <v/>
      </c>
      <c r="G7" s="25" t="n"/>
    </row>
  </sheetData>
  <mergeCells count="1">
    <mergeCell ref="A1:G1"/>
  </mergeCells>
  <conditionalFormatting sqref="F4:F7">
    <cfRule type="cellIs" priority="1" operator="lessThan" dxfId="0">
      <formula>0.9</formula>
    </cfRule>
    <cfRule type="cellIs" priority="2" operator="greaterThanOrEqual" dxfId="1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2026 年经营仪表盘</t>
        </is>
      </c>
    </row>
    <row r="2">
      <c r="A2" s="29" t="inlineStr">
        <is>
          <t>核心指标</t>
        </is>
      </c>
    </row>
    <row r="3">
      <c r="A3" s="30" t="inlineStr">
        <is>
          <t>总销售额（元）</t>
        </is>
      </c>
      <c r="B3" s="27">
        <f>SUM(销售明细!H4:H33)</f>
        <v/>
      </c>
    </row>
    <row r="4">
      <c r="A4" s="30" t="inlineStr">
        <is>
          <t>总提成（元）</t>
        </is>
      </c>
      <c r="B4" s="27">
        <f>SUM(销售明细!J4:J33)</f>
        <v/>
      </c>
    </row>
    <row r="5">
      <c r="A5" s="30" t="inlineStr">
        <is>
          <t>订单总数</t>
        </is>
      </c>
      <c r="B5" s="26">
        <f>COUNTA(销售明细!A4:A33)</f>
        <v/>
      </c>
    </row>
    <row r="6">
      <c r="A6" s="30" t="inlineStr">
        <is>
          <t>最大单（元）</t>
        </is>
      </c>
      <c r="B6" s="27">
        <f>MAX(销售明细!H4:H33)</f>
        <v/>
      </c>
    </row>
    <row r="7">
      <c r="A7" s="30" t="inlineStr">
        <is>
          <t>平均单（元）</t>
        </is>
      </c>
      <c r="B7" s="27">
        <f>AVERAGE(销售明细!H4:H33)</f>
        <v/>
      </c>
    </row>
    <row r="8">
      <c r="A8" s="30" t="inlineStr">
        <is>
          <t>年度总达成率</t>
        </is>
      </c>
      <c r="B8" s="28">
        <f>IFERROR(B3/区域汇总!E7,0)</f>
        <v/>
      </c>
    </row>
    <row r="9">
      <c r="A9" s="29" t="inlineStr">
        <is>
          <t>分季度销售额</t>
        </is>
      </c>
    </row>
    <row r="10">
      <c r="A10" s="2" t="inlineStr">
        <is>
          <t>季度</t>
        </is>
      </c>
      <c r="B10" s="2" t="inlineStr">
        <is>
          <t>销售额（元）</t>
        </is>
      </c>
    </row>
    <row r="11">
      <c r="A11" s="3" t="inlineStr">
        <is>
          <t>Q1</t>
        </is>
      </c>
      <c r="B11" s="14">
        <f>SUMIF(销售明细!$K$4:$K$33,1,销售明细!$H$4:$H$33)</f>
        <v/>
      </c>
    </row>
    <row r="12">
      <c r="A12" s="7" t="inlineStr">
        <is>
          <t>Q2</t>
        </is>
      </c>
      <c r="B12" s="10">
        <f>SUMIF(销售明细!$K$4:$K$33,2,销售明细!$H$4:$H$33)</f>
        <v/>
      </c>
    </row>
    <row r="13">
      <c r="A13" s="3" t="inlineStr">
        <is>
          <t>Q3</t>
        </is>
      </c>
      <c r="B13" s="14">
        <f>SUMIF(销售明细!$K$4:$K$33,3,销售明细!$H$4:$H$33)</f>
        <v/>
      </c>
    </row>
    <row r="14">
      <c r="A14" s="7" t="inlineStr">
        <is>
          <t>Q4</t>
        </is>
      </c>
      <c r="B14" s="10">
        <f>SUMIF(销售明细!$K$4:$K$33,4,销售明细!$H$4:$H$33)</f>
        <v/>
      </c>
    </row>
    <row r="16">
      <c r="A16" s="29" t="inlineStr">
        <is>
          <t>产品线构成</t>
        </is>
      </c>
    </row>
    <row r="17">
      <c r="A17" s="2" t="inlineStr">
        <is>
          <t>产品线</t>
        </is>
      </c>
      <c r="B17" s="2" t="inlineStr">
        <is>
          <t>销售额（元）</t>
        </is>
      </c>
    </row>
    <row r="18">
      <c r="A18" s="7" t="inlineStr">
        <is>
          <t>标准版</t>
        </is>
      </c>
      <c r="B18" s="10">
        <f>SUMIF(销售明细!$E$4:$E$33,A18,销售明细!$H$4:$H$33)</f>
        <v/>
      </c>
    </row>
    <row r="19">
      <c r="A19" s="3" t="inlineStr">
        <is>
          <t>专业版</t>
        </is>
      </c>
      <c r="B19" s="14">
        <f>SUMIF(销售明细!$E$4:$E$33,A19,销售明细!$H$4:$H$33)</f>
        <v/>
      </c>
    </row>
    <row r="20">
      <c r="A20" s="7" t="inlineStr">
        <is>
          <t>旗舰版</t>
        </is>
      </c>
      <c r="B20" s="10">
        <f>SUMIF(销售明细!$E$4:$E$33,A20,销售明细!$H$4:$H$33)</f>
        <v/>
      </c>
    </row>
    <row r="21">
      <c r="A21" s="3" t="inlineStr">
        <is>
          <t>定制服务</t>
        </is>
      </c>
      <c r="B21" s="14">
        <f>SUMIF(销售明细!$E$4:$E$33,A21,销售明细!$H$4:$H$33)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2026-09-17T02:29:16Z</dcterms:created>
  <dcterms:modified xmlns:dcterms="http://purl.org/dc/terms/" xmlns:xsi="http://www.w3.org/2001/XMLSchema-instance" xsi:type="dcterms:W3CDTF">2026-09-17T02:29:16Z</dcterms:modified>
</cp:coreProperties>
</file>